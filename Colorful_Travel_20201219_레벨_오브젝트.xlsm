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3395" windowHeight="8040" activeTab="5"/>
  </bookViews>
  <sheets>
    <sheet name="개요" sheetId="4" r:id="rId1"/>
    <sheet name="Color" sheetId="5" r:id="rId2"/>
    <sheet name="Physical Properties" sheetId="7" r:id="rId3"/>
    <sheet name="예제" sheetId="8" r:id="rId4"/>
    <sheet name="가중치" sheetId="15" state="hidden" r:id="rId5"/>
    <sheet name="툴 예제" sheetId="16" r:id="rId6"/>
    <sheet name="난이도" sheetId="14" r:id="rId7"/>
    <sheet name="Stage8" sheetId="13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16" l="1"/>
  <c r="E12" i="16"/>
  <c r="G12" i="16" s="1"/>
  <c r="D12" i="16"/>
  <c r="C12" i="16"/>
  <c r="H11" i="16"/>
  <c r="E11" i="16"/>
  <c r="G11" i="16" s="1"/>
  <c r="D11" i="16"/>
  <c r="C11" i="16"/>
  <c r="H10" i="16"/>
  <c r="E10" i="16"/>
  <c r="G10" i="16" s="1"/>
  <c r="D10" i="16"/>
  <c r="C10" i="16"/>
  <c r="H9" i="16"/>
  <c r="E9" i="16"/>
  <c r="G9" i="16" s="1"/>
  <c r="D9" i="16"/>
  <c r="C9" i="16"/>
  <c r="H8" i="16"/>
  <c r="E8" i="16"/>
  <c r="G8" i="16" s="1"/>
  <c r="D8" i="16"/>
  <c r="C8" i="16"/>
  <c r="H7" i="16"/>
  <c r="E7" i="16"/>
  <c r="G7" i="16" s="1"/>
  <c r="D7" i="16"/>
  <c r="C7" i="16"/>
  <c r="H6" i="16"/>
  <c r="E6" i="16"/>
  <c r="G6" i="16" s="1"/>
  <c r="D6" i="16"/>
  <c r="C6" i="16"/>
  <c r="H5" i="16"/>
  <c r="E5" i="16"/>
  <c r="G5" i="16" s="1"/>
  <c r="D5" i="16"/>
  <c r="C5" i="16"/>
  <c r="H4" i="16"/>
  <c r="E4" i="16"/>
  <c r="G4" i="16" s="1"/>
  <c r="D4" i="16"/>
  <c r="C4" i="16"/>
  <c r="H3" i="16"/>
  <c r="E3" i="16"/>
  <c r="G3" i="16" s="1"/>
  <c r="D3" i="16"/>
  <c r="C3" i="16"/>
  <c r="H2" i="16"/>
  <c r="E2" i="16"/>
  <c r="G2" i="16" s="1"/>
  <c r="D2" i="16"/>
  <c r="C2" i="16"/>
  <c r="F2" i="16" l="1"/>
  <c r="F3" i="16"/>
  <c r="F4" i="16"/>
  <c r="F5" i="16"/>
  <c r="F6" i="16"/>
  <c r="F7" i="16"/>
  <c r="F8" i="16"/>
  <c r="F9" i="16"/>
  <c r="F10" i="16"/>
  <c r="F11" i="16"/>
  <c r="F12" i="16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" i="14"/>
  <c r="F29" i="14" l="1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G10" i="14" s="1"/>
  <c r="F9" i="14"/>
  <c r="F8" i="14"/>
  <c r="F7" i="14"/>
  <c r="F6" i="14"/>
  <c r="G6" i="14" s="1"/>
  <c r="F5" i="14"/>
  <c r="F4" i="14"/>
  <c r="F3" i="14"/>
  <c r="G3" i="14" s="1"/>
  <c r="G2" i="14"/>
  <c r="F2" i="14"/>
  <c r="G20" i="14" l="1"/>
  <c r="G4" i="14"/>
  <c r="G18" i="14"/>
  <c r="G14" i="14"/>
  <c r="G24" i="14"/>
  <c r="G7" i="14"/>
  <c r="G11" i="14"/>
  <c r="C10" i="8" l="1"/>
  <c r="E10" i="8"/>
  <c r="F10" i="8" s="1"/>
  <c r="E11" i="8"/>
  <c r="F11" i="8" s="1"/>
  <c r="E12" i="8"/>
  <c r="F12" i="8" s="1"/>
  <c r="D10" i="8"/>
  <c r="D11" i="8"/>
  <c r="D12" i="8"/>
  <c r="C11" i="8"/>
  <c r="C12" i="8"/>
  <c r="E3" i="8"/>
  <c r="H3" i="8" s="1"/>
  <c r="E4" i="8"/>
  <c r="H4" i="8" s="1"/>
  <c r="E5" i="8"/>
  <c r="H5" i="8" s="1"/>
  <c r="E6" i="8"/>
  <c r="H6" i="8" s="1"/>
  <c r="E7" i="8"/>
  <c r="G7" i="8" s="1"/>
  <c r="E8" i="8"/>
  <c r="H8" i="8" s="1"/>
  <c r="E9" i="8"/>
  <c r="H9" i="8" s="1"/>
  <c r="D3" i="8"/>
  <c r="D4" i="8"/>
  <c r="D5" i="8"/>
  <c r="D6" i="8"/>
  <c r="D7" i="8"/>
  <c r="D8" i="8"/>
  <c r="D9" i="8"/>
  <c r="E2" i="8"/>
  <c r="G2" i="8" s="1"/>
  <c r="D2" i="8"/>
  <c r="C2" i="8"/>
  <c r="C3" i="8"/>
  <c r="C4" i="8"/>
  <c r="C5" i="8"/>
  <c r="C6" i="8"/>
  <c r="C7" i="8"/>
  <c r="C8" i="8"/>
  <c r="C9" i="8"/>
  <c r="F5" i="8" l="1"/>
  <c r="G8" i="8"/>
  <c r="G5" i="8"/>
  <c r="F7" i="8"/>
  <c r="H7" i="8"/>
  <c r="F8" i="8"/>
  <c r="H2" i="8"/>
  <c r="G6" i="8"/>
  <c r="F6" i="8"/>
  <c r="F4" i="8"/>
  <c r="H12" i="8"/>
  <c r="F2" i="8"/>
  <c r="F3" i="8"/>
  <c r="G4" i="8"/>
  <c r="G12" i="8"/>
  <c r="G3" i="8"/>
  <c r="H11" i="8"/>
  <c r="G11" i="8"/>
  <c r="H10" i="8"/>
  <c r="G10" i="8"/>
  <c r="F9" i="8"/>
  <c r="G9" i="8"/>
</calcChain>
</file>

<file path=xl/sharedStrings.xml><?xml version="1.0" encoding="utf-8"?>
<sst xmlns="http://schemas.openxmlformats.org/spreadsheetml/2006/main" count="123" uniqueCount="84">
  <si>
    <t>캐릭터</t>
    <phoneticPr fontId="1" type="noConversion"/>
  </si>
  <si>
    <t>물리 오브젝트</t>
    <phoneticPr fontId="1" type="noConversion"/>
  </si>
  <si>
    <t>색</t>
    <phoneticPr fontId="1" type="noConversion"/>
  </si>
  <si>
    <t>오브 아이템</t>
    <phoneticPr fontId="1" type="noConversion"/>
  </si>
  <si>
    <t>색</t>
    <phoneticPr fontId="1" type="noConversion"/>
  </si>
  <si>
    <t>물리 성질</t>
    <phoneticPr fontId="1" type="noConversion"/>
  </si>
  <si>
    <r>
      <rPr>
        <b/>
        <i/>
        <sz val="11"/>
        <color theme="1"/>
        <rFont val="맑은 고딕"/>
        <family val="3"/>
        <charset val="129"/>
        <scheme val="minor"/>
      </rPr>
      <t>캐릭터</t>
    </r>
    <r>
      <rPr>
        <sz val="11"/>
        <color theme="1"/>
        <rFont val="맑은 고딕"/>
        <family val="2"/>
        <charset val="129"/>
        <scheme val="minor"/>
      </rPr>
      <t xml:space="preserve">는 </t>
    </r>
    <r>
      <rPr>
        <b/>
        <u/>
        <sz val="11"/>
        <color theme="1"/>
        <rFont val="맑은 고딕"/>
        <family val="3"/>
        <charset val="129"/>
        <scheme val="minor"/>
      </rPr>
      <t>색</t>
    </r>
    <r>
      <rPr>
        <sz val="11"/>
        <color theme="1"/>
        <rFont val="맑은 고딕"/>
        <family val="2"/>
        <charset val="129"/>
        <scheme val="minor"/>
      </rPr>
      <t>을 가지고 있다.</t>
    </r>
    <phoneticPr fontId="1" type="noConversion"/>
  </si>
  <si>
    <r>
      <rPr>
        <b/>
        <i/>
        <sz val="11"/>
        <color theme="1"/>
        <rFont val="맑은 고딕"/>
        <family val="3"/>
        <charset val="129"/>
        <scheme val="minor"/>
      </rPr>
      <t>캐릭터</t>
    </r>
    <r>
      <rPr>
        <sz val="11"/>
        <color theme="1"/>
        <rFont val="맑은 고딕"/>
        <family val="2"/>
        <charset val="129"/>
        <scheme val="minor"/>
      </rPr>
      <t xml:space="preserve">는 </t>
    </r>
    <r>
      <rPr>
        <b/>
        <u/>
        <sz val="11"/>
        <color theme="1"/>
        <rFont val="맑은 고딕"/>
        <family val="3"/>
        <charset val="129"/>
        <scheme val="minor"/>
      </rPr>
      <t>오브 아이템</t>
    </r>
    <r>
      <rPr>
        <sz val="11"/>
        <color theme="1"/>
        <rFont val="맑은 고딕"/>
        <family val="2"/>
        <charset val="129"/>
        <scheme val="minor"/>
      </rPr>
      <t>을 먹으면 가지고 있는 색이 늘어난다.</t>
    </r>
    <phoneticPr fontId="1" type="noConversion"/>
  </si>
  <si>
    <r>
      <rPr>
        <b/>
        <i/>
        <sz val="11"/>
        <color theme="1"/>
        <rFont val="맑은 고딕"/>
        <family val="3"/>
        <charset val="129"/>
        <scheme val="minor"/>
      </rPr>
      <t>캐릭터</t>
    </r>
    <r>
      <rPr>
        <sz val="11"/>
        <color theme="1"/>
        <rFont val="맑은 고딕"/>
        <family val="2"/>
        <charset val="129"/>
        <scheme val="minor"/>
      </rPr>
      <t xml:space="preserve">는 가지고 있는 색으로 </t>
    </r>
    <r>
      <rPr>
        <b/>
        <u/>
        <sz val="11"/>
        <color theme="1"/>
        <rFont val="맑은 고딕"/>
        <family val="3"/>
        <charset val="129"/>
        <scheme val="minor"/>
      </rPr>
      <t>물리 오브젝트의 색</t>
    </r>
    <r>
      <rPr>
        <sz val="11"/>
        <color theme="1"/>
        <rFont val="맑은 고딕"/>
        <family val="2"/>
        <charset val="129"/>
        <scheme val="minor"/>
      </rPr>
      <t>을 부여할 수 있다.</t>
    </r>
    <phoneticPr fontId="1" type="noConversion"/>
  </si>
  <si>
    <r>
      <rPr>
        <b/>
        <i/>
        <sz val="11"/>
        <color theme="1"/>
        <rFont val="맑은 고딕"/>
        <family val="3"/>
        <charset val="129"/>
        <scheme val="minor"/>
      </rPr>
      <t>물리 오브젝트</t>
    </r>
    <r>
      <rPr>
        <sz val="11"/>
        <color theme="1"/>
        <rFont val="맑은 고딕"/>
        <family val="2"/>
        <charset val="129"/>
        <scheme val="minor"/>
      </rPr>
      <t>는 미리 설정된 물리법칙과 공식에 기반하여 작동한다.</t>
    </r>
    <phoneticPr fontId="1" type="noConversion"/>
  </si>
  <si>
    <r>
      <rPr>
        <b/>
        <i/>
        <sz val="11"/>
        <color theme="1"/>
        <rFont val="맑은 고딕"/>
        <family val="3"/>
        <charset val="129"/>
        <scheme val="minor"/>
      </rPr>
      <t>물리 오브젝트</t>
    </r>
    <r>
      <rPr>
        <sz val="11"/>
        <color theme="1"/>
        <rFont val="맑은 고딕"/>
        <family val="2"/>
        <charset val="129"/>
        <scheme val="minor"/>
      </rPr>
      <t xml:space="preserve">의 </t>
    </r>
    <r>
      <rPr>
        <b/>
        <u/>
        <sz val="11"/>
        <color theme="1"/>
        <rFont val="맑은 고딕"/>
        <family val="3"/>
        <charset val="129"/>
        <scheme val="minor"/>
      </rPr>
      <t>물리 성질</t>
    </r>
    <r>
      <rPr>
        <sz val="11"/>
        <color theme="1"/>
        <rFont val="맑은 고딕"/>
        <family val="2"/>
        <charset val="129"/>
        <scheme val="minor"/>
      </rPr>
      <t>을 결정하는 건 물리 오브젝트의 색이다.</t>
    </r>
    <phoneticPr fontId="1" type="noConversion"/>
  </si>
  <si>
    <r>
      <rPr>
        <b/>
        <i/>
        <sz val="11"/>
        <color theme="1"/>
        <rFont val="맑은 고딕"/>
        <family val="3"/>
        <charset val="129"/>
        <scheme val="minor"/>
      </rPr>
      <t>물리 오브젝트</t>
    </r>
    <r>
      <rPr>
        <sz val="11"/>
        <color theme="1"/>
        <rFont val="맑은 고딕"/>
        <family val="2"/>
        <charset val="129"/>
        <scheme val="minor"/>
      </rPr>
      <t xml:space="preserve">는 </t>
    </r>
    <r>
      <rPr>
        <b/>
        <u/>
        <sz val="11"/>
        <color theme="1"/>
        <rFont val="맑은 고딕"/>
        <family val="3"/>
        <charset val="129"/>
        <scheme val="minor"/>
      </rPr>
      <t>색</t>
    </r>
    <r>
      <rPr>
        <sz val="11"/>
        <color theme="1"/>
        <rFont val="맑은 고딕"/>
        <family val="2"/>
        <charset val="129"/>
        <scheme val="minor"/>
      </rPr>
      <t>을 가진다.</t>
    </r>
    <phoneticPr fontId="1" type="noConversion"/>
  </si>
  <si>
    <t>#ColorID</t>
    <phoneticPr fontId="1" type="noConversion"/>
  </si>
  <si>
    <t>ColorName</t>
    <phoneticPr fontId="1" type="noConversion"/>
  </si>
  <si>
    <t>ColorRGB</t>
    <phoneticPr fontId="1" type="noConversion"/>
  </si>
  <si>
    <t>GRAY</t>
    <phoneticPr fontId="1" type="noConversion"/>
  </si>
  <si>
    <t>127, 127, 127</t>
    <phoneticPr fontId="1" type="noConversion"/>
  </si>
  <si>
    <t>0, 0, 0</t>
    <phoneticPr fontId="1" type="noConversion"/>
  </si>
  <si>
    <t>255, 255, 255</t>
    <phoneticPr fontId="1" type="noConversion"/>
  </si>
  <si>
    <t>255, 255, 0</t>
    <phoneticPr fontId="1" type="noConversion"/>
  </si>
  <si>
    <t>0, 255, 0</t>
    <phoneticPr fontId="1" type="noConversion"/>
  </si>
  <si>
    <t>255, 0, 0</t>
    <phoneticPr fontId="1" type="noConversion"/>
  </si>
  <si>
    <t>0, 0, 255</t>
    <phoneticPr fontId="1" type="noConversion"/>
  </si>
  <si>
    <t>BLACK</t>
    <phoneticPr fontId="1" type="noConversion"/>
  </si>
  <si>
    <t>WHITE</t>
    <phoneticPr fontId="1" type="noConversion"/>
  </si>
  <si>
    <t>YELLOW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</si>
  <si>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</si>
  <si>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</si>
  <si>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</si>
  <si>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PhysicalPropertiesID</t>
    <phoneticPr fontId="1" type="noConversion"/>
  </si>
  <si>
    <t>#PhysicalPropertiesID</t>
    <phoneticPr fontId="1" type="noConversion"/>
  </si>
  <si>
    <t>Mass</t>
    <phoneticPr fontId="1" type="noConversion"/>
  </si>
  <si>
    <t>Drag</t>
    <phoneticPr fontId="1" type="noConversion"/>
  </si>
  <si>
    <t>Elasticity</t>
  </si>
  <si>
    <t>#ObjectID</t>
    <phoneticPr fontId="1" type="noConversion"/>
  </si>
  <si>
    <t>ColorID</t>
    <phoneticPr fontId="1" type="noConversion"/>
  </si>
  <si>
    <t>…</t>
    <phoneticPr fontId="1" type="noConversion"/>
  </si>
  <si>
    <t>Elasticity</t>
    <phoneticPr fontId="1" type="noConversion"/>
  </si>
  <si>
    <t>Scale.x</t>
    <phoneticPr fontId="1" type="noConversion"/>
  </si>
  <si>
    <t>Scale.y</t>
    <phoneticPr fontId="1" type="noConversion"/>
  </si>
  <si>
    <t>Scale.z</t>
    <phoneticPr fontId="1" type="noConversion"/>
  </si>
  <si>
    <t>Rotation.x</t>
    <phoneticPr fontId="1" type="noConversion"/>
  </si>
  <si>
    <t>Rotation.y</t>
    <phoneticPr fontId="1" type="noConversion"/>
  </si>
  <si>
    <t>Rotation.z</t>
    <phoneticPr fontId="1" type="noConversion"/>
  </si>
  <si>
    <t>Translation.x</t>
    <phoneticPr fontId="1" type="noConversion"/>
  </si>
  <si>
    <t>Translation.y</t>
    <phoneticPr fontId="1" type="noConversion"/>
  </si>
  <si>
    <t>Translation.z</t>
    <phoneticPr fontId="1" type="noConversion"/>
  </si>
  <si>
    <t>ColorName</t>
  </si>
  <si>
    <t>스테이지</t>
    <phoneticPr fontId="1" type="noConversion"/>
  </si>
  <si>
    <t>스테이지이름</t>
    <phoneticPr fontId="1" type="noConversion"/>
  </si>
  <si>
    <t>색</t>
    <phoneticPr fontId="1" type="noConversion"/>
  </si>
  <si>
    <t>색가중치</t>
    <phoneticPr fontId="1" type="noConversion"/>
  </si>
  <si>
    <t>개수</t>
    <phoneticPr fontId="1" type="noConversion"/>
  </si>
  <si>
    <t>합</t>
    <phoneticPr fontId="1" type="noConversion"/>
  </si>
  <si>
    <t>난이도</t>
    <phoneticPr fontId="1" type="noConversion"/>
  </si>
  <si>
    <t>튜토리얼</t>
    <phoneticPr fontId="1" type="noConversion"/>
  </si>
  <si>
    <t>무채색 세상</t>
    <phoneticPr fontId="1" type="noConversion"/>
  </si>
  <si>
    <t>회색</t>
    <phoneticPr fontId="1" type="noConversion"/>
  </si>
  <si>
    <t>검은 세계</t>
    <phoneticPr fontId="1" type="noConversion"/>
  </si>
  <si>
    <t>검은색</t>
    <phoneticPr fontId="1" type="noConversion"/>
  </si>
  <si>
    <t>하얀 세계</t>
    <phoneticPr fontId="1" type="noConversion"/>
  </si>
  <si>
    <t>흰색</t>
    <phoneticPr fontId="1" type="noConversion"/>
  </si>
  <si>
    <t>노란 세계</t>
    <phoneticPr fontId="1" type="noConversion"/>
  </si>
  <si>
    <t>노란색</t>
    <phoneticPr fontId="1" type="noConversion"/>
  </si>
  <si>
    <t>초록색 길을 따라</t>
    <phoneticPr fontId="1" type="noConversion"/>
  </si>
  <si>
    <t>초록 세계</t>
    <phoneticPr fontId="1" type="noConversion"/>
  </si>
  <si>
    <t>초록색</t>
    <phoneticPr fontId="1" type="noConversion"/>
  </si>
  <si>
    <t>빨간 길을 따라</t>
    <phoneticPr fontId="1" type="noConversion"/>
  </si>
  <si>
    <t>파란 길을 따라</t>
    <phoneticPr fontId="1" type="noConversion"/>
  </si>
  <si>
    <t>흰색</t>
    <phoneticPr fontId="1" type="noConversion"/>
  </si>
  <si>
    <t>빨갛고 파란 세계</t>
    <phoneticPr fontId="1" type="noConversion"/>
  </si>
  <si>
    <t>빨간색</t>
    <phoneticPr fontId="1" type="noConversion"/>
  </si>
  <si>
    <t>파란색</t>
    <phoneticPr fontId="1" type="noConversion"/>
  </si>
  <si>
    <t>동굴 탈출</t>
    <phoneticPr fontId="1" type="noConversion"/>
  </si>
  <si>
    <t>돌아온 세계의 색</t>
    <phoneticPr fontId="1" type="noConversion"/>
  </si>
  <si>
    <t>색</t>
    <phoneticPr fontId="1" type="noConversion"/>
  </si>
  <si>
    <t>색 가중치</t>
    <phoneticPr fontId="1" type="noConversion"/>
  </si>
  <si>
    <t>검은색</t>
    <phoneticPr fontId="1" type="noConversion"/>
  </si>
  <si>
    <t>흰색</t>
    <phoneticPr fontId="1" type="noConversion"/>
  </si>
  <si>
    <t>노란색</t>
    <phoneticPr fontId="1" type="noConversion"/>
  </si>
  <si>
    <t>초록색</t>
    <phoneticPr fontId="1" type="noConversion"/>
  </si>
  <si>
    <t>빨간색</t>
    <phoneticPr fontId="1" type="noConversion"/>
  </si>
  <si>
    <t>파란색</t>
    <phoneticPr fontId="1" type="noConversion"/>
  </si>
  <si>
    <t>#ColorID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</si>
</sst>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trike/>
      <sz val="11"/>
      <color theme="1"/>
      <name val="맑은 고딕"/>
      <family val="2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  <scheme val="minor"/>
    </font>
    <font>
      <b/>
      <sz val="14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3" xfId="0" applyBorder="1">
      <alignment vertical="center"/>
    </xf>
    <xf numFmtId="0" fontId="0" fillId="0" borderId="10" xfId="0" applyBorder="1">
      <alignment vertical="center"/>
    </xf>
    <xf numFmtId="0" fontId="0" fillId="0" borderId="14" xfId="0" applyBorder="1">
      <alignment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5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0" xfId="0" applyFont="1">
      <alignment vertical="center"/>
    </xf>
    <xf numFmtId="0" fontId="2" fillId="7" borderId="1" xfId="0" applyFont="1" applyFill="1" applyBorder="1" applyAlignment="1">
      <alignment horizontal="center" vertical="center"/>
    </xf>
    <xf numFmtId="0" fontId="8" fillId="0" borderId="12" xfId="0" applyFont="1" applyBorder="1">
      <alignment vertical="center"/>
    </xf>
    <xf numFmtId="0" fontId="8" fillId="0" borderId="2" xfId="0" applyFont="1" applyBorder="1">
      <alignment vertical="center"/>
    </xf>
    <xf numFmtId="0" fontId="8" fillId="0" borderId="3" xfId="0" applyFont="1" applyBorder="1">
      <alignment vertical="center"/>
    </xf>
    <xf numFmtId="0" fontId="2" fillId="7" borderId="4" xfId="0" applyFont="1" applyFill="1" applyBorder="1" applyAlignment="1">
      <alignment horizontal="center" vertical="center"/>
    </xf>
    <xf numFmtId="0" fontId="9" fillId="7" borderId="5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9" fillId="7" borderId="1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9" fillId="7" borderId="6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8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495301</xdr:colOff>
      <xdr:row>1</xdr:row>
      <xdr:rowOff>28576</xdr:rowOff>
    </xdr:from>
    <xdr:to>
      <xdr:col>16</xdr:col>
      <xdr:colOff>487419</xdr:colOff>
      <xdr:row>17</xdr:row>
      <xdr:rowOff>9526</xdr:rowOff>
    </xdr:to>
    <xdr:pic>
      <xdr:nvPicPr>
        <xdr:cNvPr id="152" name="그림 15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1" y="247651"/>
          <a:ext cx="4792718" cy="3657600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10</xdr:row>
          <xdr:rowOff>9525</xdr:rowOff>
        </xdr:from>
        <xdr:to>
          <xdr:col>10</xdr:col>
          <xdr:colOff>19050</xdr:colOff>
          <xdr:row>11</xdr:row>
          <xdr:rowOff>200025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값 수정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10</xdr:row>
          <xdr:rowOff>9525</xdr:rowOff>
        </xdr:from>
        <xdr:to>
          <xdr:col>10</xdr:col>
          <xdr:colOff>19050</xdr:colOff>
          <xdr:row>11</xdr:row>
          <xdr:rowOff>200025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값 수정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테스트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0"/>
  <sheetViews>
    <sheetView workbookViewId="0">
      <selection activeCell="I11" sqref="I11"/>
    </sheetView>
  </sheetViews>
  <sheetFormatPr defaultRowHeight="16.5" x14ac:dyDescent="0.3"/>
  <cols>
    <col min="1" max="1" width="4" customWidth="1"/>
  </cols>
  <sheetData>
    <row r="1" spans="2:9" ht="17.25" thickBot="1" x14ac:dyDescent="0.35"/>
    <row r="2" spans="2:9" ht="27" thickBot="1" x14ac:dyDescent="0.35">
      <c r="B2" s="82" t="s">
        <v>0</v>
      </c>
      <c r="C2" s="83"/>
      <c r="D2" s="83"/>
      <c r="E2" s="83"/>
      <c r="F2" s="83"/>
      <c r="G2" s="83"/>
      <c r="H2" s="84"/>
    </row>
    <row r="3" spans="2:9" ht="17.25" thickBot="1" x14ac:dyDescent="0.35">
      <c r="B3" s="27" t="s">
        <v>6</v>
      </c>
      <c r="C3" s="8"/>
      <c r="D3" s="8"/>
      <c r="E3" s="8"/>
      <c r="F3" s="8"/>
      <c r="G3" s="8"/>
      <c r="H3" s="9"/>
      <c r="I3" s="26" t="s">
        <v>2</v>
      </c>
    </row>
    <row r="4" spans="2:9" x14ac:dyDescent="0.3">
      <c r="B4" s="28" t="s">
        <v>7</v>
      </c>
      <c r="C4" s="3"/>
      <c r="D4" s="3"/>
      <c r="E4" s="3"/>
      <c r="F4" s="3"/>
      <c r="G4" s="3"/>
      <c r="H4" s="4"/>
      <c r="I4" s="25" t="s">
        <v>3</v>
      </c>
    </row>
    <row r="5" spans="2:9" ht="17.25" thickBot="1" x14ac:dyDescent="0.35">
      <c r="B5" s="29" t="s">
        <v>8</v>
      </c>
      <c r="C5" s="5"/>
      <c r="D5" s="5"/>
      <c r="E5" s="5"/>
      <c r="F5" s="5"/>
      <c r="G5" s="5"/>
      <c r="H5" s="6"/>
    </row>
    <row r="6" spans="2:9" ht="17.25" thickBot="1" x14ac:dyDescent="0.35"/>
    <row r="7" spans="2:9" ht="27" thickBot="1" x14ac:dyDescent="0.35">
      <c r="B7" s="82" t="s">
        <v>1</v>
      </c>
      <c r="C7" s="83"/>
      <c r="D7" s="83"/>
      <c r="E7" s="83"/>
      <c r="F7" s="83"/>
      <c r="G7" s="83"/>
      <c r="H7" s="84"/>
    </row>
    <row r="8" spans="2:9" ht="17.25" thickBot="1" x14ac:dyDescent="0.35">
      <c r="B8" s="27" t="s">
        <v>11</v>
      </c>
      <c r="C8" s="8"/>
      <c r="D8" s="8"/>
      <c r="E8" s="8"/>
      <c r="F8" s="8"/>
      <c r="G8" s="8"/>
      <c r="H8" s="9"/>
      <c r="I8" s="26" t="s">
        <v>4</v>
      </c>
    </row>
    <row r="9" spans="2:9" ht="17.25" thickBot="1" x14ac:dyDescent="0.35">
      <c r="B9" s="28" t="s">
        <v>9</v>
      </c>
      <c r="C9" s="3"/>
      <c r="D9" s="3"/>
      <c r="E9" s="3"/>
      <c r="F9" s="3"/>
      <c r="G9" s="3"/>
      <c r="H9" s="4"/>
    </row>
    <row r="10" spans="2:9" ht="17.25" thickBot="1" x14ac:dyDescent="0.35">
      <c r="B10" s="29" t="s">
        <v>10</v>
      </c>
      <c r="C10" s="5"/>
      <c r="D10" s="5"/>
      <c r="E10" s="5"/>
      <c r="F10" s="5"/>
      <c r="G10" s="5"/>
      <c r="H10" s="6"/>
      <c r="I10" s="26" t="s">
        <v>5</v>
      </c>
    </row>
  </sheetData>
  <mergeCells count="2">
    <mergeCell ref="B2:H2"/>
    <mergeCell ref="B7:H7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"/>
  <sheetViews>
    <sheetView workbookViewId="0">
      <selection activeCell="E9" sqref="E9"/>
    </sheetView>
  </sheetViews>
  <sheetFormatPr defaultRowHeight="16.5" x14ac:dyDescent="0.3"/>
  <cols>
    <col min="1" max="1" width="9.625" style="20" bestFit="1" customWidth="1"/>
    <col min="2" max="2" width="11.875" style="20" bestFit="1" customWidth="1"/>
    <col min="3" max="3" width="12.75" style="20" bestFit="1" customWidth="1"/>
    <col min="4" max="4" width="20.75" style="20" bestFit="1" customWidth="1"/>
    <col min="5" max="16384" width="9" style="20"/>
  </cols>
  <sheetData>
    <row r="1" spans="1:4" ht="17.25" thickBot="1" x14ac:dyDescent="0.35">
      <c r="A1" s="32" t="s">
        <v>12</v>
      </c>
      <c r="B1" s="26" t="s">
        <v>13</v>
      </c>
      <c r="C1" s="26" t="s">
        <v>14</v>
      </c>
      <c r="D1" s="33" t="s">
        <v>29</v>
      </c>
    </row>
    <row r="2" spans="1:4" ht="17.25" thickBot="1" x14ac:dyDescent="0.35">
      <c r="A2" s="18">
        <v>1</v>
      </c>
      <c r="B2" s="7" t="s">
        <v>15</v>
      </c>
      <c r="C2" s="10" t="s">
        <v>16</v>
      </c>
      <c r="D2" s="18">
        <v>1</v>
      </c>
    </row>
    <row r="3" spans="1:4" ht="17.25" thickBot="1" x14ac:dyDescent="0.35">
      <c r="A3" s="16">
        <v>2</v>
      </c>
      <c r="B3" s="22" t="s">
        <v>23</v>
      </c>
      <c r="C3" s="10" t="s">
        <v>17</v>
      </c>
      <c r="D3" s="16">
        <v>2</v>
      </c>
    </row>
    <row r="4" spans="1:4" ht="17.25" thickBot="1" x14ac:dyDescent="0.35">
      <c r="A4" s="16">
        <v>3</v>
      </c>
      <c r="B4" s="37" t="s">
        <v>24</v>
      </c>
      <c r="C4" s="10" t="s">
        <v>18</v>
      </c>
      <c r="D4" s="16">
        <v>3</v>
      </c>
    </row>
    <row r="5" spans="1:4" ht="17.25" thickBot="1" x14ac:dyDescent="0.35">
      <c r="A5" s="16">
        <v>4</v>
      </c>
      <c r="B5" s="38" t="s">
        <v>25</v>
      </c>
      <c r="C5" s="10" t="s">
        <v>19</v>
      </c>
      <c r="D5" s="16">
        <v>4</v>
      </c>
    </row>
    <row r="6" spans="1:4" ht="17.25" thickBot="1" x14ac:dyDescent="0.35">
      <c r="A6" s="16">
        <v>5</v>
      </c>
      <c r="B6" s="39" t="s">
        <v>26</v>
      </c>
      <c r="C6" s="10" t="s">
        <v>20</v>
      </c>
      <c r="D6" s="16">
        <v>5</v>
      </c>
    </row>
    <row r="7" spans="1:4" x14ac:dyDescent="0.3">
      <c r="A7" s="16">
        <v>6</v>
      </c>
      <c r="B7" s="35" t="s">
        <v>27</v>
      </c>
      <c r="C7" s="10" t="s">
        <v>21</v>
      </c>
      <c r="D7" s="16">
        <v>1</v>
      </c>
    </row>
    <row r="8" spans="1:4" ht="17.25" thickBot="1" x14ac:dyDescent="0.35">
      <c r="A8" s="17">
        <v>7</v>
      </c>
      <c r="B8" s="40" t="s">
        <v>28</v>
      </c>
      <c r="C8" s="24" t="s">
        <v>22</v>
      </c>
      <c r="D8" s="17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"/>
  <sheetViews>
    <sheetView workbookViewId="0"/>
  </sheetViews>
  <sheetFormatPr defaultRowHeight="16.5" x14ac:dyDescent="0.3"/>
  <cols>
    <col min="1" max="1" width="22" style="20" bestFit="1" customWidth="1"/>
    <col min="2" max="3" width="9" style="20"/>
    <col min="4" max="4" width="10" style="20" bestFit="1" customWidth="1"/>
    <col min="5" max="16384" width="9" style="20"/>
  </cols>
  <sheetData>
    <row r="1" spans="1:4" ht="18" thickBot="1" x14ac:dyDescent="0.35">
      <c r="A1" s="33" t="s">
        <v>30</v>
      </c>
      <c r="B1" s="30" t="s">
        <v>31</v>
      </c>
      <c r="C1" s="26" t="s">
        <v>32</v>
      </c>
      <c r="D1" s="31" t="s">
        <v>37</v>
      </c>
    </row>
    <row r="2" spans="1:4" ht="17.25" thickBot="1" x14ac:dyDescent="0.35">
      <c r="A2" s="18">
        <v>1</v>
      </c>
      <c r="B2" s="2">
        <v>10</v>
      </c>
      <c r="C2" s="16">
        <v>0.995</v>
      </c>
      <c r="D2" s="7">
        <v>0.9</v>
      </c>
    </row>
    <row r="3" spans="1:4" ht="17.25" thickBot="1" x14ac:dyDescent="0.35">
      <c r="A3" s="16">
        <v>2</v>
      </c>
      <c r="B3" s="21">
        <v>100</v>
      </c>
      <c r="C3" s="16">
        <v>0.995</v>
      </c>
      <c r="D3" s="7">
        <v>0.9</v>
      </c>
    </row>
    <row r="4" spans="1:4" ht="17.25" thickBot="1" x14ac:dyDescent="0.35">
      <c r="A4" s="16">
        <v>3</v>
      </c>
      <c r="B4" s="21">
        <v>1</v>
      </c>
      <c r="C4" s="16">
        <v>0.995</v>
      </c>
      <c r="D4" s="7">
        <v>0.9</v>
      </c>
    </row>
    <row r="5" spans="1:4" ht="17.25" thickBot="1" x14ac:dyDescent="0.35">
      <c r="A5" s="16">
        <v>4</v>
      </c>
      <c r="B5" s="2">
        <v>10</v>
      </c>
      <c r="C5" s="1">
        <v>0.999</v>
      </c>
      <c r="D5" s="7">
        <v>0.9</v>
      </c>
    </row>
    <row r="6" spans="1:4" ht="17.25" thickBot="1" x14ac:dyDescent="0.35">
      <c r="A6" s="17">
        <v>5</v>
      </c>
      <c r="B6" s="19">
        <v>10</v>
      </c>
      <c r="C6" s="17">
        <v>0.995</v>
      </c>
      <c r="D6" s="22">
        <v>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8"/>
  <sheetViews>
    <sheetView workbookViewId="0">
      <selection activeCell="H28" sqref="H28"/>
    </sheetView>
  </sheetViews>
  <sheetFormatPr defaultRowHeight="16.5" x14ac:dyDescent="0.3"/>
  <cols>
    <col min="1" max="1" width="10.625" style="20" bestFit="1" customWidth="1"/>
    <col min="2" max="2" width="8.5" style="20" bestFit="1" customWidth="1"/>
    <col min="3" max="3" width="11.875" style="20" bestFit="1" customWidth="1"/>
    <col min="4" max="4" width="14.125" style="20" customWidth="1"/>
    <col min="5" max="5" width="20.75" style="20" bestFit="1" customWidth="1"/>
    <col min="6" max="6" width="6.25" style="20" bestFit="1" customWidth="1"/>
    <col min="7" max="7" width="6" style="20" bestFit="1" customWidth="1"/>
    <col min="8" max="8" width="10" style="20" bestFit="1" customWidth="1"/>
    <col min="9" max="16384" width="9" style="20"/>
  </cols>
  <sheetData>
    <row r="1" spans="1:8" ht="18" thickBot="1" x14ac:dyDescent="0.35">
      <c r="A1" s="32" t="s">
        <v>34</v>
      </c>
      <c r="B1" s="32" t="s">
        <v>35</v>
      </c>
      <c r="C1" s="32" t="s">
        <v>13</v>
      </c>
      <c r="D1" s="33" t="s">
        <v>14</v>
      </c>
      <c r="E1" s="44" t="s">
        <v>29</v>
      </c>
      <c r="F1" s="33" t="s">
        <v>31</v>
      </c>
      <c r="G1" s="33" t="s">
        <v>32</v>
      </c>
      <c r="H1" s="34" t="s">
        <v>33</v>
      </c>
    </row>
    <row r="2" spans="1:8" x14ac:dyDescent="0.3">
      <c r="A2" s="23">
        <v>1</v>
      </c>
      <c r="B2" s="41">
        <v>1</v>
      </c>
      <c r="C2" s="12" t="str">
        <f>VLOOKUP($B2, Color!$A$2:$D$8, 2, FALSE)</f>
        <v>GRAY</v>
      </c>
      <c r="D2" s="41" t="str">
        <f>VLOOKUP($B2, Color!$A$2:$D$8, 3, FALSE)</f>
        <v>127, 127, 127</v>
      </c>
      <c r="E2" s="12">
        <f>VLOOKUP($B2, Color!$A$2:$D$8, 4, FALSE)</f>
        <v>1</v>
      </c>
      <c r="F2" s="41">
        <f>VLOOKUP($E2, 'Physical Properties'!$A$2:$D$6, 2, FALSE)</f>
        <v>10</v>
      </c>
      <c r="G2" s="41">
        <f>VLOOKUP($E2, 'Physical Properties'!$A$2:$D$6, 3, FALSE)</f>
        <v>0.995</v>
      </c>
      <c r="H2" s="13">
        <f>VLOOKUP($E2, 'Physical Properties'!$A$2:$D$6, 4, FALSE)</f>
        <v>0.9</v>
      </c>
    </row>
    <row r="3" spans="1:8" x14ac:dyDescent="0.3">
      <c r="A3" s="10">
        <v>2</v>
      </c>
      <c r="B3" s="42">
        <v>2</v>
      </c>
      <c r="C3" s="11" t="str">
        <f>VLOOKUP(B3, Color!$A$2:$D$8, 2, FALSE)</f>
        <v>BLACK</v>
      </c>
      <c r="D3" s="42" t="str">
        <f>VLOOKUP($B3, Color!$A$2:$D$8, 3, FALSE)</f>
        <v>0, 0, 0</v>
      </c>
      <c r="E3" s="11">
        <f>VLOOKUP($B3, Color!$A$2:$D$8, 4, FALSE)</f>
        <v>2</v>
      </c>
      <c r="F3" s="42">
        <f>VLOOKUP($E3, 'Physical Properties'!$A$2:$D$6, 2, FALSE)</f>
        <v>100</v>
      </c>
      <c r="G3" s="42">
        <f>VLOOKUP($E3, 'Physical Properties'!$A$2:$D$6, 3, FALSE)</f>
        <v>0.995</v>
      </c>
      <c r="H3" s="14">
        <f>VLOOKUP($E3, 'Physical Properties'!$A$2:$D$6, 4, FALSE)</f>
        <v>0.9</v>
      </c>
    </row>
    <row r="4" spans="1:8" x14ac:dyDescent="0.3">
      <c r="A4" s="10">
        <v>3</v>
      </c>
      <c r="B4" s="42">
        <v>3</v>
      </c>
      <c r="C4" s="11" t="str">
        <f>VLOOKUP(B4, Color!$A$2:$D$8, 2, FALSE)</f>
        <v>WHITE</v>
      </c>
      <c r="D4" s="42" t="str">
        <f>VLOOKUP($B4, Color!$A$2:$D$8, 3, FALSE)</f>
        <v>255, 255, 255</v>
      </c>
      <c r="E4" s="11">
        <f>VLOOKUP($B4, Color!$A$2:$D$8, 4, FALSE)</f>
        <v>3</v>
      </c>
      <c r="F4" s="42">
        <f>VLOOKUP($E4, 'Physical Properties'!$A$2:$D$6, 2, FALSE)</f>
        <v>1</v>
      </c>
      <c r="G4" s="42">
        <f>VLOOKUP($E4, 'Physical Properties'!$A$2:$D$6, 3, FALSE)</f>
        <v>0.995</v>
      </c>
      <c r="H4" s="14">
        <f>VLOOKUP($E4, 'Physical Properties'!$A$2:$D$6, 4, FALSE)</f>
        <v>0.9</v>
      </c>
    </row>
    <row r="5" spans="1:8" x14ac:dyDescent="0.3">
      <c r="A5" s="10">
        <v>4</v>
      </c>
      <c r="B5" s="42">
        <v>4</v>
      </c>
      <c r="C5" s="11" t="str">
        <f>VLOOKUP(B5, Color!$A$2:$D$8, 2, FALSE)</f>
        <v>YELLOW</v>
      </c>
      <c r="D5" s="42" t="str">
        <f>VLOOKUP($B5, Color!$A$2:$D$8, 3, FALSE)</f>
        <v>255, 255, 0</v>
      </c>
      <c r="E5" s="11">
        <f>VLOOKUP($B5, Color!$A$2:$D$8, 4, FALSE)</f>
        <v>4</v>
      </c>
      <c r="F5" s="42">
        <f>VLOOKUP($E5, 'Physical Properties'!$A$2:$D$6, 2, FALSE)</f>
        <v>10</v>
      </c>
      <c r="G5" s="42">
        <f>VLOOKUP($E5, 'Physical Properties'!$A$2:$D$6, 3, FALSE)</f>
        <v>0.999</v>
      </c>
      <c r="H5" s="14">
        <f>VLOOKUP($E5, 'Physical Properties'!$A$2:$D$6, 4, FALSE)</f>
        <v>0.9</v>
      </c>
    </row>
    <row r="6" spans="1:8" x14ac:dyDescent="0.3">
      <c r="A6" s="10">
        <v>5</v>
      </c>
      <c r="B6" s="42">
        <v>5</v>
      </c>
      <c r="C6" s="11" t="str">
        <f>VLOOKUP(B6, Color!$A$2:$D$8, 2, FALSE)</f>
        <v>GREEN</v>
      </c>
      <c r="D6" s="42" t="str">
        <f>VLOOKUP($B6, Color!$A$2:$D$8, 3, FALSE)</f>
        <v>0, 255, 0</v>
      </c>
      <c r="E6" s="11">
        <f>VLOOKUP($B6, Color!$A$2:$D$8, 4, FALSE)</f>
        <v>5</v>
      </c>
      <c r="F6" s="42">
        <f>VLOOKUP($E6, 'Physical Properties'!$A$2:$D$6, 2, FALSE)</f>
        <v>10</v>
      </c>
      <c r="G6" s="42">
        <f>VLOOKUP($E6, 'Physical Properties'!$A$2:$D$6, 3, FALSE)</f>
        <v>0.995</v>
      </c>
      <c r="H6" s="14">
        <f>VLOOKUP($E6, 'Physical Properties'!$A$2:$D$6, 4, FALSE)</f>
        <v>2</v>
      </c>
    </row>
    <row r="7" spans="1:8" x14ac:dyDescent="0.3">
      <c r="A7" s="10">
        <v>6</v>
      </c>
      <c r="B7" s="42">
        <v>6</v>
      </c>
      <c r="C7" s="11" t="str">
        <f>VLOOKUP(B7, Color!$A$2:$D$8, 2, FALSE)</f>
        <v>RED</v>
      </c>
      <c r="D7" s="42" t="str">
        <f>VLOOKUP($B7, Color!$A$2:$D$8, 3, FALSE)</f>
        <v>255, 0, 0</v>
      </c>
      <c r="E7" s="11">
        <f>VLOOKUP($B7, Color!$A$2:$D$8, 4, FALSE)</f>
        <v>1</v>
      </c>
      <c r="F7" s="42">
        <f>VLOOKUP($E7, 'Physical Properties'!$A$2:$D$6, 2, FALSE)</f>
        <v>10</v>
      </c>
      <c r="G7" s="42">
        <f>VLOOKUP($E7, 'Physical Properties'!$A$2:$D$6, 3, FALSE)</f>
        <v>0.995</v>
      </c>
      <c r="H7" s="14">
        <f>VLOOKUP($E7, 'Physical Properties'!$A$2:$D$6, 4, FALSE)</f>
        <v>0.9</v>
      </c>
    </row>
    <row r="8" spans="1:8" ht="17.25" thickBot="1" x14ac:dyDescent="0.35">
      <c r="A8" s="24">
        <v>7</v>
      </c>
      <c r="B8" s="43">
        <v>7</v>
      </c>
      <c r="C8" s="15" t="str">
        <f>VLOOKUP(B8, Color!$A$2:$D$8, 2, FALSE)</f>
        <v>BLUE</v>
      </c>
      <c r="D8" s="43" t="str">
        <f>VLOOKUP($B8, Color!$A$2:$D$8, 3, FALSE)</f>
        <v>0, 0, 255</v>
      </c>
      <c r="E8" s="15">
        <f>VLOOKUP($B8, Color!$A$2:$D$8, 4, FALSE)</f>
        <v>1</v>
      </c>
      <c r="F8" s="43">
        <f>VLOOKUP($E8, 'Physical Properties'!$A$2:$D$6, 2, FALSE)</f>
        <v>10</v>
      </c>
      <c r="G8" s="43">
        <f>VLOOKUP($E8, 'Physical Properties'!$A$2:$D$6, 3, FALSE)</f>
        <v>0.995</v>
      </c>
      <c r="H8" s="36">
        <f>VLOOKUP($E8, 'Physical Properties'!$A$2:$D$6, 4, FALSE)</f>
        <v>0.9</v>
      </c>
    </row>
    <row r="9" spans="1:8" x14ac:dyDescent="0.3">
      <c r="A9" s="10">
        <v>8</v>
      </c>
      <c r="B9" s="42"/>
      <c r="C9" s="11" t="e">
        <f>VLOOKUP(B9, Color!$A$2:$D$8, 2, FALSE)</f>
        <v>#N/A</v>
      </c>
      <c r="D9" s="11" t="e">
        <f>VLOOKUP($B9, Color!$A$2:$D$8, 3, FALSE)</f>
        <v>#N/A</v>
      </c>
      <c r="E9" s="11" t="e">
        <f>VLOOKUP($B9, Color!$A$2:$D$8, 4, FALSE)</f>
        <v>#N/A</v>
      </c>
      <c r="F9" s="11" t="e">
        <f>VLOOKUP($E9, 'Physical Properties'!$A$2:$D$6, 2, FALSE)</f>
        <v>#N/A</v>
      </c>
      <c r="G9" s="11" t="e">
        <f>VLOOKUP($E9, 'Physical Properties'!$A$2:$D$6, 3, FALSE)</f>
        <v>#N/A</v>
      </c>
      <c r="H9" s="14" t="e">
        <f>VLOOKUP($E9, 'Physical Properties'!$A$2:$D$6, 4, FALSE)</f>
        <v>#N/A</v>
      </c>
    </row>
    <row r="10" spans="1:8" x14ac:dyDescent="0.3">
      <c r="A10" s="10">
        <v>9</v>
      </c>
      <c r="B10" s="16"/>
      <c r="C10" s="11" t="e">
        <f>VLOOKUP(B10, Color!$A$2:$D$8, 2, FALSE)</f>
        <v>#N/A</v>
      </c>
      <c r="D10" s="11" t="e">
        <f>VLOOKUP($B10, Color!$A$2:$D$8, 3, FALSE)</f>
        <v>#N/A</v>
      </c>
      <c r="E10" s="11" t="e">
        <f>VLOOKUP($B10, Color!$A$2:$D$8, 4, FALSE)</f>
        <v>#N/A</v>
      </c>
      <c r="F10" s="11" t="e">
        <f>VLOOKUP($E10, 'Physical Properties'!$A$2:$D$6, 2, FALSE)</f>
        <v>#N/A</v>
      </c>
      <c r="G10" s="11" t="e">
        <f>VLOOKUP($E10, 'Physical Properties'!$A$2:$D$6, 3, FALSE)</f>
        <v>#N/A</v>
      </c>
      <c r="H10" s="14" t="e">
        <f>VLOOKUP($E10, 'Physical Properties'!$A$2:$D$6, 4, FALSE)</f>
        <v>#N/A</v>
      </c>
    </row>
    <row r="11" spans="1:8" x14ac:dyDescent="0.3">
      <c r="A11" s="10">
        <v>10</v>
      </c>
      <c r="B11" s="16"/>
      <c r="C11" s="11" t="e">
        <f>VLOOKUP(B11, Color!$A$2:$D$8, 2, FALSE)</f>
        <v>#N/A</v>
      </c>
      <c r="D11" s="11" t="e">
        <f>VLOOKUP($B11, Color!$A$2:$D$8, 3, FALSE)</f>
        <v>#N/A</v>
      </c>
      <c r="E11" s="11" t="e">
        <f>VLOOKUP($B11, Color!$A$2:$D$8, 4, FALSE)</f>
        <v>#N/A</v>
      </c>
      <c r="F11" s="11" t="e">
        <f>VLOOKUP($E11, 'Physical Properties'!$A$2:$D$6, 2, FALSE)</f>
        <v>#N/A</v>
      </c>
      <c r="G11" s="11" t="e">
        <f>VLOOKUP($E11, 'Physical Properties'!$A$2:$D$6, 3, FALSE)</f>
        <v>#N/A</v>
      </c>
      <c r="H11" s="14" t="e">
        <f>VLOOKUP($E11, 'Physical Properties'!$A$2:$D$6, 4, FALSE)</f>
        <v>#N/A</v>
      </c>
    </row>
    <row r="12" spans="1:8" ht="17.25" thickBot="1" x14ac:dyDescent="0.35">
      <c r="A12" s="24">
        <v>11</v>
      </c>
      <c r="B12" s="17"/>
      <c r="C12" s="15" t="e">
        <f>VLOOKUP(B12, Color!$A$2:$D$8, 2, FALSE)</f>
        <v>#N/A</v>
      </c>
      <c r="D12" s="15" t="e">
        <f>VLOOKUP($B12, Color!$A$2:$D$8, 3, FALSE)</f>
        <v>#N/A</v>
      </c>
      <c r="E12" s="15" t="e">
        <f>VLOOKUP($B12, Color!$A$2:$D$8, 4, FALSE)</f>
        <v>#N/A</v>
      </c>
      <c r="F12" s="15" t="e">
        <f>VLOOKUP($E12, 'Physical Properties'!$A$2:$D$6, 2, FALSE)</f>
        <v>#N/A</v>
      </c>
      <c r="G12" s="15" t="e">
        <f>VLOOKUP($E12, 'Physical Properties'!$A$2:$D$6, 3, FALSE)</f>
        <v>#N/A</v>
      </c>
      <c r="H12" s="36" t="e">
        <f>VLOOKUP($E12, 'Physical Properties'!$A$2:$D$6, 4, FALSE)</f>
        <v>#N/A</v>
      </c>
    </row>
    <row r="13" spans="1:8" x14ac:dyDescent="0.3">
      <c r="A13" s="10" t="s">
        <v>36</v>
      </c>
    </row>
    <row r="14" spans="1:8" x14ac:dyDescent="0.3">
      <c r="A14" s="2"/>
    </row>
    <row r="15" spans="1:8" x14ac:dyDescent="0.3">
      <c r="A15" s="10"/>
    </row>
    <row r="16" spans="1:8" x14ac:dyDescent="0.3">
      <c r="A16" s="10"/>
    </row>
    <row r="17" spans="1:1" x14ac:dyDescent="0.3">
      <c r="A17" s="10"/>
    </row>
    <row r="18" spans="1:1" x14ac:dyDescent="0.3">
      <c r="A18" s="10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단추1_Click">
                <anchor moveWithCells="1" sizeWithCells="1">
                  <from>
                    <xdr:col>8</xdr:col>
                    <xdr:colOff>19050</xdr:colOff>
                    <xdr:row>10</xdr:row>
                    <xdr:rowOff>9525</xdr:rowOff>
                  </from>
                  <to>
                    <xdr:col>10</xdr:col>
                    <xdr:colOff>19050</xdr:colOff>
                    <xdr:row>11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/>
  </sheetViews>
  <sheetFormatPr defaultRowHeight="16.5" x14ac:dyDescent="0.3"/>
  <cols>
    <col min="1" max="1" width="7.375" bestFit="1" customWidth="1"/>
    <col min="2" max="2" width="9.875" bestFit="1" customWidth="1"/>
  </cols>
  <sheetData>
    <row r="1" spans="1:2" ht="17.25" thickBot="1" x14ac:dyDescent="0.35">
      <c r="A1" s="70" t="s">
        <v>75</v>
      </c>
      <c r="B1" s="22" t="s">
        <v>76</v>
      </c>
    </row>
    <row r="2" spans="1:2" ht="17.25" thickBot="1" x14ac:dyDescent="0.35">
      <c r="A2" s="1" t="s">
        <v>77</v>
      </c>
      <c r="B2" s="64">
        <v>0.2</v>
      </c>
    </row>
    <row r="3" spans="1:2" ht="17.25" thickBot="1" x14ac:dyDescent="0.35">
      <c r="A3" s="71" t="s">
        <v>78</v>
      </c>
      <c r="B3" s="62">
        <v>0.2</v>
      </c>
    </row>
    <row r="4" spans="1:2" ht="17.25" thickBot="1" x14ac:dyDescent="0.35">
      <c r="A4" s="72" t="s">
        <v>79</v>
      </c>
      <c r="B4" s="62">
        <v>0.4</v>
      </c>
    </row>
    <row r="5" spans="1:2" ht="17.25" thickBot="1" x14ac:dyDescent="0.35">
      <c r="A5" s="73" t="s">
        <v>80</v>
      </c>
      <c r="B5" s="62">
        <v>0.6</v>
      </c>
    </row>
    <row r="6" spans="1:2" x14ac:dyDescent="0.3">
      <c r="A6" s="74" t="s">
        <v>81</v>
      </c>
      <c r="B6" s="62">
        <v>1</v>
      </c>
    </row>
    <row r="7" spans="1:2" ht="17.25" thickBot="1" x14ac:dyDescent="0.35">
      <c r="A7" s="75" t="s">
        <v>82</v>
      </c>
      <c r="B7" s="63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18"/>
  <sheetViews>
    <sheetView tabSelected="1" topLeftCell="B1" workbookViewId="0">
      <selection activeCell="K13" sqref="K13"/>
    </sheetView>
  </sheetViews>
  <sheetFormatPr defaultRowHeight="16.5" x14ac:dyDescent="0.3"/>
  <cols>
    <col min="1" max="1" width="10.625" style="20" hidden="1" customWidth="1"/>
    <col min="2" max="2" width="9.625" style="20" bestFit="1" customWidth="1"/>
    <col min="3" max="3" width="11.875" style="20" bestFit="1" customWidth="1"/>
    <col min="4" max="4" width="14.125" style="20" customWidth="1"/>
    <col min="5" max="5" width="20.75" style="20" hidden="1" customWidth="1"/>
    <col min="6" max="6" width="6.25" style="20" bestFit="1" customWidth="1"/>
    <col min="7" max="7" width="6" style="20" bestFit="1" customWidth="1"/>
    <col min="8" max="8" width="10" style="20" bestFit="1" customWidth="1"/>
    <col min="9" max="16384" width="9" style="20"/>
  </cols>
  <sheetData>
    <row r="1" spans="1:8" ht="18" thickBot="1" x14ac:dyDescent="0.35">
      <c r="A1" s="32" t="s">
        <v>34</v>
      </c>
      <c r="B1" s="32" t="s">
        <v>83</v>
      </c>
      <c r="C1" s="32" t="s">
        <v>13</v>
      </c>
      <c r="D1" s="80" t="s">
        <v>14</v>
      </c>
      <c r="E1" s="44" t="s">
        <v>29</v>
      </c>
      <c r="F1" s="80" t="s">
        <v>31</v>
      </c>
      <c r="G1" s="80" t="s">
        <v>32</v>
      </c>
      <c r="H1" s="34" t="s">
        <v>33</v>
      </c>
    </row>
    <row r="2" spans="1:8" x14ac:dyDescent="0.3">
      <c r="A2" s="23">
        <v>1</v>
      </c>
      <c r="B2" s="41">
        <v>1</v>
      </c>
      <c r="C2" s="12" t="str">
        <f>VLOOKUP($B2, Color!$A$2:$D$8, 2, FALSE)</f>
        <v>GRAY</v>
      </c>
      <c r="D2" s="41" t="str">
        <f>VLOOKUP($B2, Color!$A$2:$D$8, 3, FALSE)</f>
        <v>127, 127, 127</v>
      </c>
      <c r="E2" s="12">
        <f>VLOOKUP($B2, Color!$A$2:$D$8, 4, FALSE)</f>
        <v>1</v>
      </c>
      <c r="F2" s="41">
        <f>VLOOKUP($E2, 'Physical Properties'!$A$2:$D$6, 2, FALSE)</f>
        <v>10</v>
      </c>
      <c r="G2" s="41">
        <f>VLOOKUP($E2, 'Physical Properties'!$A$2:$D$6, 3, FALSE)</f>
        <v>0.995</v>
      </c>
      <c r="H2" s="13">
        <f>VLOOKUP($E2, 'Physical Properties'!$A$2:$D$6, 4, FALSE)</f>
        <v>0.9</v>
      </c>
    </row>
    <row r="3" spans="1:8" x14ac:dyDescent="0.3">
      <c r="A3" s="10">
        <v>2</v>
      </c>
      <c r="B3" s="42">
        <v>2</v>
      </c>
      <c r="C3" s="11" t="str">
        <f>VLOOKUP(B3, Color!$A$2:$D$8, 2, FALSE)</f>
        <v>BLACK</v>
      </c>
      <c r="D3" s="42" t="str">
        <f>VLOOKUP($B3, Color!$A$2:$D$8, 3, FALSE)</f>
        <v>0, 0, 0</v>
      </c>
      <c r="E3" s="11">
        <f>VLOOKUP($B3, Color!$A$2:$D$8, 4, FALSE)</f>
        <v>2</v>
      </c>
      <c r="F3" s="42">
        <f>VLOOKUP($E3, 'Physical Properties'!$A$2:$D$6, 2, FALSE)</f>
        <v>100</v>
      </c>
      <c r="G3" s="42">
        <f>VLOOKUP($E3, 'Physical Properties'!$A$2:$D$6, 3, FALSE)</f>
        <v>0.995</v>
      </c>
      <c r="H3" s="14">
        <f>VLOOKUP($E3, 'Physical Properties'!$A$2:$D$6, 4, FALSE)</f>
        <v>0.9</v>
      </c>
    </row>
    <row r="4" spans="1:8" x14ac:dyDescent="0.3">
      <c r="A4" s="10">
        <v>3</v>
      </c>
      <c r="B4" s="42">
        <v>3</v>
      </c>
      <c r="C4" s="11" t="str">
        <f>VLOOKUP(B4, Color!$A$2:$D$8, 2, FALSE)</f>
        <v>WHITE</v>
      </c>
      <c r="D4" s="42" t="str">
        <f>VLOOKUP($B4, Color!$A$2:$D$8, 3, FALSE)</f>
        <v>255, 255, 255</v>
      </c>
      <c r="E4" s="11">
        <f>VLOOKUP($B4, Color!$A$2:$D$8, 4, FALSE)</f>
        <v>3</v>
      </c>
      <c r="F4" s="42">
        <f>VLOOKUP($E4, 'Physical Properties'!$A$2:$D$6, 2, FALSE)</f>
        <v>1</v>
      </c>
      <c r="G4" s="42">
        <f>VLOOKUP($E4, 'Physical Properties'!$A$2:$D$6, 3, FALSE)</f>
        <v>0.995</v>
      </c>
      <c r="H4" s="14">
        <f>VLOOKUP($E4, 'Physical Properties'!$A$2:$D$6, 4, FALSE)</f>
        <v>0.9</v>
      </c>
    </row>
    <row r="5" spans="1:8" x14ac:dyDescent="0.3">
      <c r="A5" s="10">
        <v>4</v>
      </c>
      <c r="B5" s="42">
        <v>4</v>
      </c>
      <c r="C5" s="11" t="str">
        <f>VLOOKUP(B5, Color!$A$2:$D$8, 2, FALSE)</f>
        <v>YELLOW</v>
      </c>
      <c r="D5" s="42" t="str">
        <f>VLOOKUP($B5, Color!$A$2:$D$8, 3, FALSE)</f>
        <v>255, 255, 0</v>
      </c>
      <c r="E5" s="11">
        <f>VLOOKUP($B5, Color!$A$2:$D$8, 4, FALSE)</f>
        <v>4</v>
      </c>
      <c r="F5" s="42">
        <f>VLOOKUP($E5, 'Physical Properties'!$A$2:$D$6, 2, FALSE)</f>
        <v>10</v>
      </c>
      <c r="G5" s="42">
        <f>VLOOKUP($E5, 'Physical Properties'!$A$2:$D$6, 3, FALSE)</f>
        <v>0.999</v>
      </c>
      <c r="H5" s="14">
        <f>VLOOKUP($E5, 'Physical Properties'!$A$2:$D$6, 4, FALSE)</f>
        <v>0.9</v>
      </c>
    </row>
    <row r="6" spans="1:8" x14ac:dyDescent="0.3">
      <c r="A6" s="10">
        <v>5</v>
      </c>
      <c r="B6" s="42">
        <v>5</v>
      </c>
      <c r="C6" s="11" t="str">
        <f>VLOOKUP(B6, Color!$A$2:$D$8, 2, FALSE)</f>
        <v>GREEN</v>
      </c>
      <c r="D6" s="42" t="str">
        <f>VLOOKUP($B6, Color!$A$2:$D$8, 3, FALSE)</f>
        <v>0, 255, 0</v>
      </c>
      <c r="E6" s="11">
        <f>VLOOKUP($B6, Color!$A$2:$D$8, 4, FALSE)</f>
        <v>5</v>
      </c>
      <c r="F6" s="42">
        <f>VLOOKUP($E6, 'Physical Properties'!$A$2:$D$6, 2, FALSE)</f>
        <v>10</v>
      </c>
      <c r="G6" s="42">
        <f>VLOOKUP($E6, 'Physical Properties'!$A$2:$D$6, 3, FALSE)</f>
        <v>0.995</v>
      </c>
      <c r="H6" s="14">
        <f>VLOOKUP($E6, 'Physical Properties'!$A$2:$D$6, 4, FALSE)</f>
        <v>2</v>
      </c>
    </row>
    <row r="7" spans="1:8" x14ac:dyDescent="0.3">
      <c r="A7" s="10">
        <v>6</v>
      </c>
      <c r="B7" s="42">
        <v>6</v>
      </c>
      <c r="C7" s="11" t="str">
        <f>VLOOKUP(B7, Color!$A$2:$D$8, 2, FALSE)</f>
        <v>RED</v>
      </c>
      <c r="D7" s="42" t="str">
        <f>VLOOKUP($B7, Color!$A$2:$D$8, 3, FALSE)</f>
        <v>255, 0, 0</v>
      </c>
      <c r="E7" s="11">
        <f>VLOOKUP($B7, Color!$A$2:$D$8, 4, FALSE)</f>
        <v>1</v>
      </c>
      <c r="F7" s="42">
        <f>VLOOKUP($E7, 'Physical Properties'!$A$2:$D$6, 2, FALSE)</f>
        <v>10</v>
      </c>
      <c r="G7" s="42">
        <f>VLOOKUP($E7, 'Physical Properties'!$A$2:$D$6, 3, FALSE)</f>
        <v>0.995</v>
      </c>
      <c r="H7" s="14">
        <f>VLOOKUP($E7, 'Physical Properties'!$A$2:$D$6, 4, FALSE)</f>
        <v>0.9</v>
      </c>
    </row>
    <row r="8" spans="1:8" ht="17.25" thickBot="1" x14ac:dyDescent="0.35">
      <c r="A8" s="24">
        <v>7</v>
      </c>
      <c r="B8" s="43">
        <v>7</v>
      </c>
      <c r="C8" s="15" t="str">
        <f>VLOOKUP(B8, Color!$A$2:$D$8, 2, FALSE)</f>
        <v>BLUE</v>
      </c>
      <c r="D8" s="43" t="str">
        <f>VLOOKUP($B8, Color!$A$2:$D$8, 3, FALSE)</f>
        <v>0, 0, 255</v>
      </c>
      <c r="E8" s="15">
        <f>VLOOKUP($B8, Color!$A$2:$D$8, 4, FALSE)</f>
        <v>1</v>
      </c>
      <c r="F8" s="43">
        <f>VLOOKUP($E8, 'Physical Properties'!$A$2:$D$6, 2, FALSE)</f>
        <v>10</v>
      </c>
      <c r="G8" s="43">
        <f>VLOOKUP($E8, 'Physical Properties'!$A$2:$D$6, 3, FALSE)</f>
        <v>0.995</v>
      </c>
      <c r="H8" s="36">
        <f>VLOOKUP($E8, 'Physical Properties'!$A$2:$D$6, 4, FALSE)</f>
        <v>0.9</v>
      </c>
    </row>
    <row r="9" spans="1:8" x14ac:dyDescent="0.3">
      <c r="A9" s="10">
        <v>8</v>
      </c>
      <c r="B9" s="42"/>
      <c r="C9" s="11" t="e">
        <f>VLOOKUP(B9, Color!$A$2:$D$8, 2, FALSE)</f>
        <v>#N/A</v>
      </c>
      <c r="D9" s="11" t="e">
        <f>VLOOKUP($B9, Color!$A$2:$D$8, 3, FALSE)</f>
        <v>#N/A</v>
      </c>
      <c r="E9" s="11" t="e">
        <f>VLOOKUP($B9, Color!$A$2:$D$8, 4, FALSE)</f>
        <v>#N/A</v>
      </c>
      <c r="F9" s="11" t="e">
        <f>VLOOKUP($E9, 'Physical Properties'!$A$2:$D$6, 2, FALSE)</f>
        <v>#N/A</v>
      </c>
      <c r="G9" s="11" t="e">
        <f>VLOOKUP($E9, 'Physical Properties'!$A$2:$D$6, 3, FALSE)</f>
        <v>#N/A</v>
      </c>
      <c r="H9" s="14" t="e">
        <f>VLOOKUP($E9, 'Physical Properties'!$A$2:$D$6, 4, FALSE)</f>
        <v>#N/A</v>
      </c>
    </row>
    <row r="10" spans="1:8" x14ac:dyDescent="0.3">
      <c r="A10" s="10">
        <v>9</v>
      </c>
      <c r="B10" s="69"/>
      <c r="C10" s="11" t="e">
        <f>VLOOKUP(B10, Color!$A$2:$D$8, 2, FALSE)</f>
        <v>#N/A</v>
      </c>
      <c r="D10" s="11" t="e">
        <f>VLOOKUP($B10, Color!$A$2:$D$8, 3, FALSE)</f>
        <v>#N/A</v>
      </c>
      <c r="E10" s="11" t="e">
        <f>VLOOKUP($B10, Color!$A$2:$D$8, 4, FALSE)</f>
        <v>#N/A</v>
      </c>
      <c r="F10" s="11" t="e">
        <f>VLOOKUP($E10, 'Physical Properties'!$A$2:$D$6, 2, FALSE)</f>
        <v>#N/A</v>
      </c>
      <c r="G10" s="11" t="e">
        <f>VLOOKUP($E10, 'Physical Properties'!$A$2:$D$6, 3, FALSE)</f>
        <v>#N/A</v>
      </c>
      <c r="H10" s="14" t="e">
        <f>VLOOKUP($E10, 'Physical Properties'!$A$2:$D$6, 4, FALSE)</f>
        <v>#N/A</v>
      </c>
    </row>
    <row r="11" spans="1:8" x14ac:dyDescent="0.3">
      <c r="A11" s="10">
        <v>10</v>
      </c>
      <c r="B11" s="69"/>
      <c r="C11" s="11" t="e">
        <f>VLOOKUP(B11, Color!$A$2:$D$8, 2, FALSE)</f>
        <v>#N/A</v>
      </c>
      <c r="D11" s="11" t="e">
        <f>VLOOKUP($B11, Color!$A$2:$D$8, 3, FALSE)</f>
        <v>#N/A</v>
      </c>
      <c r="E11" s="11" t="e">
        <f>VLOOKUP($B11, Color!$A$2:$D$8, 4, FALSE)</f>
        <v>#N/A</v>
      </c>
      <c r="F11" s="11" t="e">
        <f>VLOOKUP($E11, 'Physical Properties'!$A$2:$D$6, 2, FALSE)</f>
        <v>#N/A</v>
      </c>
      <c r="G11" s="11" t="e">
        <f>VLOOKUP($E11, 'Physical Properties'!$A$2:$D$6, 3, FALSE)</f>
        <v>#N/A</v>
      </c>
      <c r="H11" s="14" t="e">
        <f>VLOOKUP($E11, 'Physical Properties'!$A$2:$D$6, 4, FALSE)</f>
        <v>#N/A</v>
      </c>
    </row>
    <row r="12" spans="1:8" ht="17.25" thickBot="1" x14ac:dyDescent="0.35">
      <c r="A12" s="24">
        <v>11</v>
      </c>
      <c r="B12" s="68"/>
      <c r="C12" s="15" t="e">
        <f>VLOOKUP(B12, Color!$A$2:$D$8, 2, FALSE)</f>
        <v>#N/A</v>
      </c>
      <c r="D12" s="15" t="e">
        <f>VLOOKUP($B12, Color!$A$2:$D$8, 3, FALSE)</f>
        <v>#N/A</v>
      </c>
      <c r="E12" s="15" t="e">
        <f>VLOOKUP($B12, Color!$A$2:$D$8, 4, FALSE)</f>
        <v>#N/A</v>
      </c>
      <c r="F12" s="15" t="e">
        <f>VLOOKUP($E12, 'Physical Properties'!$A$2:$D$6, 2, FALSE)</f>
        <v>#N/A</v>
      </c>
      <c r="G12" s="15" t="e">
        <f>VLOOKUP($E12, 'Physical Properties'!$A$2:$D$6, 3, FALSE)</f>
        <v>#N/A</v>
      </c>
      <c r="H12" s="36" t="e">
        <f>VLOOKUP($E12, 'Physical Properties'!$A$2:$D$6, 4, FALSE)</f>
        <v>#N/A</v>
      </c>
    </row>
    <row r="13" spans="1:8" x14ac:dyDescent="0.3">
      <c r="A13" s="10" t="s">
        <v>36</v>
      </c>
    </row>
    <row r="14" spans="1:8" x14ac:dyDescent="0.3">
      <c r="A14" s="2"/>
    </row>
    <row r="15" spans="1:8" x14ac:dyDescent="0.3">
      <c r="A15" s="10"/>
    </row>
    <row r="16" spans="1:8" x14ac:dyDescent="0.3">
      <c r="A16" s="10"/>
    </row>
    <row r="17" spans="1:1" x14ac:dyDescent="0.3">
      <c r="A17" s="10"/>
    </row>
    <row r="18" spans="1:1" x14ac:dyDescent="0.3">
      <c r="A18" s="10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단추1_Click">
                <anchor moveWithCells="1" sizeWithCells="1">
                  <from>
                    <xdr:col>8</xdr:col>
                    <xdr:colOff>19050</xdr:colOff>
                    <xdr:row>10</xdr:row>
                    <xdr:rowOff>9525</xdr:rowOff>
                  </from>
                  <to>
                    <xdr:col>10</xdr:col>
                    <xdr:colOff>19050</xdr:colOff>
                    <xdr:row>11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9"/>
  <sheetViews>
    <sheetView workbookViewId="0">
      <selection activeCell="A18" sqref="A18:A19"/>
    </sheetView>
  </sheetViews>
  <sheetFormatPr defaultRowHeight="16.5" x14ac:dyDescent="0.3"/>
  <cols>
    <col min="1" max="1" width="9.25" style="20" bestFit="1" customWidth="1"/>
    <col min="2" max="2" width="16.5" style="20" bestFit="1" customWidth="1"/>
    <col min="3" max="7" width="9" style="20"/>
    <col min="8" max="8" width="4" customWidth="1"/>
    <col min="9" max="10" width="9" style="20"/>
  </cols>
  <sheetData>
    <row r="1" spans="1:7" ht="17.25" thickBot="1" x14ac:dyDescent="0.35">
      <c r="A1" s="1" t="s">
        <v>48</v>
      </c>
      <c r="B1" s="1" t="s">
        <v>49</v>
      </c>
      <c r="C1" s="21" t="s">
        <v>50</v>
      </c>
      <c r="D1" s="21" t="s">
        <v>51</v>
      </c>
      <c r="E1" s="21" t="s">
        <v>52</v>
      </c>
      <c r="F1" s="1" t="s">
        <v>53</v>
      </c>
      <c r="G1" s="1" t="s">
        <v>54</v>
      </c>
    </row>
    <row r="2" spans="1:7" ht="17.25" thickBot="1" x14ac:dyDescent="0.35">
      <c r="A2" s="18" t="s">
        <v>55</v>
      </c>
      <c r="B2" s="16" t="s">
        <v>56</v>
      </c>
      <c r="C2" s="2" t="s">
        <v>57</v>
      </c>
      <c r="D2" s="2">
        <v>0</v>
      </c>
      <c r="E2" s="2">
        <v>2</v>
      </c>
      <c r="F2" s="16">
        <f>D2*E2</f>
        <v>0</v>
      </c>
      <c r="G2" s="53">
        <f>SUM(F2)</f>
        <v>0</v>
      </c>
    </row>
    <row r="3" spans="1:7" ht="17.25" thickBot="1" x14ac:dyDescent="0.35">
      <c r="A3" s="54">
        <v>1</v>
      </c>
      <c r="B3" s="54" t="s">
        <v>58</v>
      </c>
      <c r="C3" s="55" t="s">
        <v>59</v>
      </c>
      <c r="D3" s="55">
        <f>VLOOKUP(C3,가중치!$A$1:$B$7,2,FALSE)</f>
        <v>0.2</v>
      </c>
      <c r="E3" s="55">
        <v>5</v>
      </c>
      <c r="F3" s="54">
        <f>D3*E3</f>
        <v>1</v>
      </c>
      <c r="G3" s="1">
        <f>SUM(F3)</f>
        <v>1</v>
      </c>
    </row>
    <row r="4" spans="1:7" x14ac:dyDescent="0.3">
      <c r="A4" s="85">
        <v>2</v>
      </c>
      <c r="B4" s="85" t="s">
        <v>60</v>
      </c>
      <c r="C4" s="45" t="s">
        <v>59</v>
      </c>
      <c r="D4" s="45">
        <f>VLOOKUP(C4,가중치!$A$1:$B$7,2,FALSE)</f>
        <v>0.2</v>
      </c>
      <c r="E4" s="45">
        <v>5</v>
      </c>
      <c r="F4" s="64">
        <f t="shared" ref="F4:F29" si="0">D4*E4</f>
        <v>1</v>
      </c>
      <c r="G4" s="87">
        <f>SUM(F4:F5)</f>
        <v>2</v>
      </c>
    </row>
    <row r="5" spans="1:7" ht="17.25" thickBot="1" x14ac:dyDescent="0.35">
      <c r="A5" s="86"/>
      <c r="B5" s="86"/>
      <c r="C5" s="19" t="s">
        <v>61</v>
      </c>
      <c r="D5" s="19">
        <f>VLOOKUP(C5,가중치!$A$1:$B$7,2,FALSE)</f>
        <v>0.2</v>
      </c>
      <c r="E5" s="19">
        <v>5</v>
      </c>
      <c r="F5" s="63">
        <f t="shared" si="0"/>
        <v>1</v>
      </c>
      <c r="G5" s="88"/>
    </row>
    <row r="6" spans="1:7" ht="17.25" thickBot="1" x14ac:dyDescent="0.35">
      <c r="A6" s="54">
        <v>3</v>
      </c>
      <c r="B6" s="54" t="s">
        <v>62</v>
      </c>
      <c r="C6" s="55" t="s">
        <v>63</v>
      </c>
      <c r="D6" s="55">
        <f>VLOOKUP(C6,가중치!$A$1:$B$7,2,FALSE)</f>
        <v>0.4</v>
      </c>
      <c r="E6" s="55">
        <v>5</v>
      </c>
      <c r="F6" s="54">
        <f t="shared" si="0"/>
        <v>2</v>
      </c>
      <c r="G6" s="1">
        <f>SUM(F6)</f>
        <v>2</v>
      </c>
    </row>
    <row r="7" spans="1:7" x14ac:dyDescent="0.3">
      <c r="A7" s="89">
        <v>4</v>
      </c>
      <c r="B7" s="89" t="s">
        <v>64</v>
      </c>
      <c r="C7" s="56" t="s">
        <v>59</v>
      </c>
      <c r="D7" s="45">
        <f>VLOOKUP(C7,가중치!$A$1:$B$7,2,FALSE)</f>
        <v>0.2</v>
      </c>
      <c r="E7" s="56">
        <v>5</v>
      </c>
      <c r="F7" s="65">
        <f t="shared" si="0"/>
        <v>1</v>
      </c>
      <c r="G7" s="92">
        <f>SUM(F7:F9)</f>
        <v>4</v>
      </c>
    </row>
    <row r="8" spans="1:7" x14ac:dyDescent="0.3">
      <c r="A8" s="90"/>
      <c r="B8" s="90"/>
      <c r="C8" s="57" t="s">
        <v>61</v>
      </c>
      <c r="D8" s="2">
        <f>VLOOKUP(C8,가중치!$A$1:$B$7,2,FALSE)</f>
        <v>0.2</v>
      </c>
      <c r="E8" s="57">
        <v>5</v>
      </c>
      <c r="F8" s="66">
        <f t="shared" si="0"/>
        <v>1</v>
      </c>
      <c r="G8" s="93"/>
    </row>
    <row r="9" spans="1:7" ht="17.25" thickBot="1" x14ac:dyDescent="0.35">
      <c r="A9" s="91"/>
      <c r="B9" s="91"/>
      <c r="C9" s="58" t="s">
        <v>63</v>
      </c>
      <c r="D9" s="19">
        <f>VLOOKUP(C9,가중치!$A$1:$B$7,2,FALSE)</f>
        <v>0.4</v>
      </c>
      <c r="E9" s="58">
        <v>5</v>
      </c>
      <c r="F9" s="67">
        <f t="shared" si="0"/>
        <v>2</v>
      </c>
      <c r="G9" s="94"/>
    </row>
    <row r="10" spans="1:7" ht="17.25" thickBot="1" x14ac:dyDescent="0.35">
      <c r="A10" s="54">
        <v>5</v>
      </c>
      <c r="B10" s="54" t="s">
        <v>65</v>
      </c>
      <c r="C10" s="55" t="s">
        <v>66</v>
      </c>
      <c r="D10" s="55">
        <f>VLOOKUP(C10,가중치!$A$1:$B$7,2,FALSE)</f>
        <v>0.6</v>
      </c>
      <c r="E10" s="55">
        <v>5</v>
      </c>
      <c r="F10" s="54">
        <f t="shared" si="0"/>
        <v>3</v>
      </c>
      <c r="G10" s="1">
        <f>SUM(F10)</f>
        <v>3</v>
      </c>
    </row>
    <row r="11" spans="1:7" x14ac:dyDescent="0.3">
      <c r="A11" s="85">
        <v>6</v>
      </c>
      <c r="B11" s="85" t="s">
        <v>67</v>
      </c>
      <c r="C11" s="45" t="s">
        <v>59</v>
      </c>
      <c r="D11" s="45">
        <f>VLOOKUP(C11,가중치!$A$1:$B$7,2,FALSE)</f>
        <v>0.2</v>
      </c>
      <c r="E11" s="45">
        <v>5</v>
      </c>
      <c r="F11" s="64">
        <f t="shared" si="0"/>
        <v>1</v>
      </c>
      <c r="G11" s="87">
        <f>SUM(F11:F13)</f>
        <v>5</v>
      </c>
    </row>
    <row r="12" spans="1:7" x14ac:dyDescent="0.3">
      <c r="A12" s="95"/>
      <c r="B12" s="95"/>
      <c r="C12" s="2" t="s">
        <v>61</v>
      </c>
      <c r="D12" s="2">
        <f>VLOOKUP(C12,가중치!$A$1:$B$7,2,FALSE)</f>
        <v>0.2</v>
      </c>
      <c r="E12" s="2">
        <v>5</v>
      </c>
      <c r="F12" s="62">
        <f t="shared" si="0"/>
        <v>1</v>
      </c>
      <c r="G12" s="96"/>
    </row>
    <row r="13" spans="1:7" ht="17.25" thickBot="1" x14ac:dyDescent="0.35">
      <c r="A13" s="86"/>
      <c r="B13" s="86"/>
      <c r="C13" s="19" t="s">
        <v>66</v>
      </c>
      <c r="D13" s="19">
        <f>VLOOKUP(C13,가중치!$A$1:$B$7,2,FALSE)</f>
        <v>0.6</v>
      </c>
      <c r="E13" s="19">
        <v>5</v>
      </c>
      <c r="F13" s="63">
        <f t="shared" si="0"/>
        <v>3</v>
      </c>
      <c r="G13" s="88"/>
    </row>
    <row r="14" spans="1:7" x14ac:dyDescent="0.3">
      <c r="A14" s="85">
        <v>7</v>
      </c>
      <c r="B14" s="85" t="s">
        <v>68</v>
      </c>
      <c r="C14" s="45" t="s">
        <v>59</v>
      </c>
      <c r="D14" s="45">
        <f>VLOOKUP(C14,가중치!$A$1:$B$7,2,FALSE)</f>
        <v>0.2</v>
      </c>
      <c r="E14" s="45">
        <v>5</v>
      </c>
      <c r="F14" s="64">
        <f t="shared" si="0"/>
        <v>1</v>
      </c>
      <c r="G14" s="87">
        <f>SUM(F14:F17)</f>
        <v>7</v>
      </c>
    </row>
    <row r="15" spans="1:7" x14ac:dyDescent="0.3">
      <c r="A15" s="95"/>
      <c r="B15" s="95"/>
      <c r="C15" s="2" t="s">
        <v>69</v>
      </c>
      <c r="D15" s="2">
        <f>VLOOKUP(C15,가중치!$A$1:$B$7,2,FALSE)</f>
        <v>0.2</v>
      </c>
      <c r="E15" s="2">
        <v>5</v>
      </c>
      <c r="F15" s="62">
        <f t="shared" si="0"/>
        <v>1</v>
      </c>
      <c r="G15" s="96"/>
    </row>
    <row r="16" spans="1:7" x14ac:dyDescent="0.3">
      <c r="A16" s="95"/>
      <c r="B16" s="95"/>
      <c r="C16" s="2" t="s">
        <v>63</v>
      </c>
      <c r="D16" s="2">
        <f>VLOOKUP(C16,가중치!$A$1:$B$7,2,FALSE)</f>
        <v>0.4</v>
      </c>
      <c r="E16" s="2">
        <v>5</v>
      </c>
      <c r="F16" s="62">
        <f t="shared" si="0"/>
        <v>2</v>
      </c>
      <c r="G16" s="96"/>
    </row>
    <row r="17" spans="1:7" ht="17.25" thickBot="1" x14ac:dyDescent="0.35">
      <c r="A17" s="86"/>
      <c r="B17" s="86"/>
      <c r="C17" s="19" t="s">
        <v>66</v>
      </c>
      <c r="D17" s="19">
        <f>VLOOKUP(C17,가중치!$A$1:$B$7,2,FALSE)</f>
        <v>0.6</v>
      </c>
      <c r="E17" s="19">
        <v>5</v>
      </c>
      <c r="F17" s="63">
        <f t="shared" si="0"/>
        <v>3</v>
      </c>
      <c r="G17" s="88"/>
    </row>
    <row r="18" spans="1:7" ht="17.25" thickBot="1" x14ac:dyDescent="0.35">
      <c r="A18" s="97">
        <v>8</v>
      </c>
      <c r="B18" s="97" t="s">
        <v>70</v>
      </c>
      <c r="C18" s="77" t="s">
        <v>71</v>
      </c>
      <c r="D18" s="77">
        <f>VLOOKUP(C18,가중치!$A$1:$B$7,2,FALSE)</f>
        <v>1</v>
      </c>
      <c r="E18" s="76">
        <v>2</v>
      </c>
      <c r="F18" s="79">
        <f t="shared" si="0"/>
        <v>2</v>
      </c>
      <c r="G18" s="99">
        <f>SUM(F18:F19)</f>
        <v>5</v>
      </c>
    </row>
    <row r="19" spans="1:7" ht="17.25" thickBot="1" x14ac:dyDescent="0.35">
      <c r="A19" s="98"/>
      <c r="B19" s="98"/>
      <c r="C19" s="78" t="s">
        <v>72</v>
      </c>
      <c r="D19" s="78">
        <f>VLOOKUP(C19,가중치!$A$1:$B$7,2,FALSE)</f>
        <v>1</v>
      </c>
      <c r="E19" s="76">
        <v>3</v>
      </c>
      <c r="F19" s="81">
        <f t="shared" si="0"/>
        <v>3</v>
      </c>
      <c r="G19" s="100"/>
    </row>
    <row r="20" spans="1:7" x14ac:dyDescent="0.3">
      <c r="A20" s="85">
        <v>9</v>
      </c>
      <c r="B20" s="85" t="s">
        <v>73</v>
      </c>
      <c r="C20" s="45" t="s">
        <v>59</v>
      </c>
      <c r="D20" s="45">
        <f>VLOOKUP(C20,가중치!$A$1:$B$7,2,FALSE)</f>
        <v>0.2</v>
      </c>
      <c r="E20" s="45">
        <v>10</v>
      </c>
      <c r="F20" s="64">
        <f t="shared" si="0"/>
        <v>2</v>
      </c>
      <c r="G20" s="87">
        <f>SUM(F20:F23)</f>
        <v>7</v>
      </c>
    </row>
    <row r="21" spans="1:7" x14ac:dyDescent="0.3">
      <c r="A21" s="95"/>
      <c r="B21" s="95"/>
      <c r="C21" s="2" t="s">
        <v>61</v>
      </c>
      <c r="D21" s="2">
        <f>VLOOKUP(C21,가중치!$A$1:$B$7,2,FALSE)</f>
        <v>0.2</v>
      </c>
      <c r="E21" s="2">
        <v>5</v>
      </c>
      <c r="F21" s="62">
        <f t="shared" si="0"/>
        <v>1</v>
      </c>
      <c r="G21" s="96"/>
    </row>
    <row r="22" spans="1:7" x14ac:dyDescent="0.3">
      <c r="A22" s="95"/>
      <c r="B22" s="95"/>
      <c r="C22" s="2" t="s">
        <v>71</v>
      </c>
      <c r="D22" s="2">
        <f>VLOOKUP(C22,가중치!$A$1:$B$7,2,FALSE)</f>
        <v>1</v>
      </c>
      <c r="E22" s="2">
        <v>2</v>
      </c>
      <c r="F22" s="62">
        <f t="shared" si="0"/>
        <v>2</v>
      </c>
      <c r="G22" s="96"/>
    </row>
    <row r="23" spans="1:7" ht="17.25" thickBot="1" x14ac:dyDescent="0.35">
      <c r="A23" s="86"/>
      <c r="B23" s="86"/>
      <c r="C23" s="19" t="s">
        <v>72</v>
      </c>
      <c r="D23" s="19">
        <f>VLOOKUP(C23,가중치!$A$1:$B$7,2,FALSE)</f>
        <v>1</v>
      </c>
      <c r="E23" s="19">
        <v>2</v>
      </c>
      <c r="F23" s="63">
        <f t="shared" si="0"/>
        <v>2</v>
      </c>
      <c r="G23" s="88"/>
    </row>
    <row r="24" spans="1:7" x14ac:dyDescent="0.3">
      <c r="A24" s="85">
        <v>10</v>
      </c>
      <c r="B24" s="85" t="s">
        <v>74</v>
      </c>
      <c r="C24" s="45" t="s">
        <v>59</v>
      </c>
      <c r="D24" s="45">
        <f>VLOOKUP(C24,가중치!$A$1:$B$7,2,FALSE)</f>
        <v>0.2</v>
      </c>
      <c r="E24" s="45">
        <v>5</v>
      </c>
      <c r="F24" s="64">
        <f t="shared" si="0"/>
        <v>1</v>
      </c>
      <c r="G24" s="87">
        <f>SUM(F24:F29)</f>
        <v>12</v>
      </c>
    </row>
    <row r="25" spans="1:7" x14ac:dyDescent="0.3">
      <c r="A25" s="95"/>
      <c r="B25" s="95"/>
      <c r="C25" s="2" t="s">
        <v>61</v>
      </c>
      <c r="D25" s="2">
        <f>VLOOKUP(C25,가중치!$A$1:$B$7,2,FALSE)</f>
        <v>0.2</v>
      </c>
      <c r="E25" s="2">
        <v>5</v>
      </c>
      <c r="F25" s="62">
        <f t="shared" si="0"/>
        <v>1</v>
      </c>
      <c r="G25" s="96"/>
    </row>
    <row r="26" spans="1:7" x14ac:dyDescent="0.3">
      <c r="A26" s="95"/>
      <c r="B26" s="95"/>
      <c r="C26" s="2" t="s">
        <v>63</v>
      </c>
      <c r="D26" s="2">
        <f>VLOOKUP(C26,가중치!$A$1:$B$7,2,FALSE)</f>
        <v>0.4</v>
      </c>
      <c r="E26" s="2">
        <v>6</v>
      </c>
      <c r="F26" s="62">
        <f t="shared" si="0"/>
        <v>2.4000000000000004</v>
      </c>
      <c r="G26" s="96"/>
    </row>
    <row r="27" spans="1:7" x14ac:dyDescent="0.3">
      <c r="A27" s="95"/>
      <c r="B27" s="95"/>
      <c r="C27" s="2" t="s">
        <v>66</v>
      </c>
      <c r="D27" s="2">
        <f>VLOOKUP(C27,가중치!$A$1:$B$7,2,FALSE)</f>
        <v>0.6</v>
      </c>
      <c r="E27" s="2">
        <v>6</v>
      </c>
      <c r="F27" s="62">
        <f t="shared" si="0"/>
        <v>3.5999999999999996</v>
      </c>
      <c r="G27" s="96"/>
    </row>
    <row r="28" spans="1:7" x14ac:dyDescent="0.3">
      <c r="A28" s="95"/>
      <c r="B28" s="95"/>
      <c r="C28" s="2" t="s">
        <v>71</v>
      </c>
      <c r="D28" s="2">
        <f>VLOOKUP(C28,가중치!$A$1:$B$7,2,FALSE)</f>
        <v>1</v>
      </c>
      <c r="E28" s="2">
        <v>2</v>
      </c>
      <c r="F28" s="62">
        <f t="shared" si="0"/>
        <v>2</v>
      </c>
      <c r="G28" s="96"/>
    </row>
    <row r="29" spans="1:7" ht="17.25" thickBot="1" x14ac:dyDescent="0.35">
      <c r="A29" s="86"/>
      <c r="B29" s="86"/>
      <c r="C29" s="19" t="s">
        <v>72</v>
      </c>
      <c r="D29" s="19">
        <f>VLOOKUP(C29,가중치!$A$1:$B$7,2,FALSE)</f>
        <v>1</v>
      </c>
      <c r="E29" s="19">
        <v>2</v>
      </c>
      <c r="F29" s="63">
        <f t="shared" si="0"/>
        <v>2</v>
      </c>
      <c r="G29" s="88"/>
    </row>
  </sheetData>
  <mergeCells count="21">
    <mergeCell ref="A24:A29"/>
    <mergeCell ref="B24:B29"/>
    <mergeCell ref="G24:G29"/>
    <mergeCell ref="A18:A19"/>
    <mergeCell ref="B18:B19"/>
    <mergeCell ref="G18:G19"/>
    <mergeCell ref="A20:A23"/>
    <mergeCell ref="B20:B23"/>
    <mergeCell ref="G20:G23"/>
    <mergeCell ref="A11:A13"/>
    <mergeCell ref="B11:B13"/>
    <mergeCell ref="G11:G13"/>
    <mergeCell ref="A14:A17"/>
    <mergeCell ref="B14:B17"/>
    <mergeCell ref="G14:G17"/>
    <mergeCell ref="A4:A5"/>
    <mergeCell ref="B4:B5"/>
    <mergeCell ref="G4:G5"/>
    <mergeCell ref="A7:A9"/>
    <mergeCell ref="B7:B9"/>
    <mergeCell ref="G7:G9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11"/>
  <sheetViews>
    <sheetView zoomScaleNormal="100" workbookViewId="0">
      <selection activeCell="N7" sqref="N7"/>
    </sheetView>
  </sheetViews>
  <sheetFormatPr defaultRowHeight="16.5" x14ac:dyDescent="0.3"/>
  <cols>
    <col min="1" max="1" width="10.625" style="20" bestFit="1" customWidth="1"/>
    <col min="2" max="2" width="11.875" style="20" bestFit="1" customWidth="1"/>
    <col min="3" max="4" width="7.625" style="20" bestFit="1" customWidth="1"/>
    <col min="5" max="5" width="7.5" style="20" bestFit="1" customWidth="1"/>
    <col min="6" max="6" width="10.875" style="20" bestFit="1" customWidth="1"/>
    <col min="7" max="7" width="11.625" style="20" bestFit="1" customWidth="1"/>
    <col min="8" max="8" width="10.75" style="20" bestFit="1" customWidth="1"/>
    <col min="9" max="9" width="13.375" style="20" bestFit="1" customWidth="1"/>
    <col min="10" max="10" width="14.25" style="20" bestFit="1" customWidth="1"/>
    <col min="11" max="11" width="13.25" style="20" bestFit="1" customWidth="1"/>
    <col min="12" max="16384" width="9" style="20"/>
  </cols>
  <sheetData>
    <row r="1" spans="1:11" ht="18" thickBot="1" x14ac:dyDescent="0.35">
      <c r="A1" s="32" t="s">
        <v>34</v>
      </c>
      <c r="B1" s="33" t="s">
        <v>47</v>
      </c>
      <c r="C1" s="33" t="s">
        <v>38</v>
      </c>
      <c r="D1" s="44" t="s">
        <v>39</v>
      </c>
      <c r="E1" s="33" t="s">
        <v>40</v>
      </c>
      <c r="F1" s="49" t="s">
        <v>41</v>
      </c>
      <c r="G1" s="34" t="s">
        <v>42</v>
      </c>
      <c r="H1" s="32" t="s">
        <v>43</v>
      </c>
      <c r="I1" s="33" t="s">
        <v>44</v>
      </c>
      <c r="J1" s="48" t="s">
        <v>45</v>
      </c>
      <c r="K1" s="33" t="s">
        <v>46</v>
      </c>
    </row>
    <row r="2" spans="1:11" ht="16.5" customHeight="1" thickBot="1" x14ac:dyDescent="0.35">
      <c r="A2" s="23">
        <v>1</v>
      </c>
      <c r="B2" s="59" t="s">
        <v>27</v>
      </c>
      <c r="C2" s="50">
        <v>1</v>
      </c>
      <c r="D2" s="12">
        <v>1</v>
      </c>
      <c r="E2" s="13">
        <v>1</v>
      </c>
      <c r="F2" s="12">
        <v>0</v>
      </c>
      <c r="G2" s="12">
        <v>0</v>
      </c>
      <c r="H2" s="45">
        <v>0</v>
      </c>
      <c r="I2" s="23">
        <v>0</v>
      </c>
      <c r="J2" s="45">
        <v>0</v>
      </c>
      <c r="K2" s="46">
        <v>0</v>
      </c>
    </row>
    <row r="3" spans="1:11" ht="17.25" thickBot="1" x14ac:dyDescent="0.35">
      <c r="A3" s="10">
        <v>2</v>
      </c>
      <c r="B3" s="60" t="s">
        <v>28</v>
      </c>
      <c r="C3" s="51">
        <v>1</v>
      </c>
      <c r="D3" s="11">
        <v>1</v>
      </c>
      <c r="E3" s="14">
        <v>1</v>
      </c>
      <c r="F3" s="11">
        <v>0</v>
      </c>
      <c r="G3" s="11">
        <v>0</v>
      </c>
      <c r="H3" s="2">
        <v>0</v>
      </c>
      <c r="I3" s="10">
        <v>1</v>
      </c>
      <c r="J3" s="2">
        <v>1</v>
      </c>
      <c r="K3" s="7">
        <v>1</v>
      </c>
    </row>
    <row r="4" spans="1:11" ht="17.25" thickBot="1" x14ac:dyDescent="0.35">
      <c r="A4" s="10">
        <v>3</v>
      </c>
      <c r="B4" s="61" t="s">
        <v>27</v>
      </c>
      <c r="C4" s="51">
        <v>0.5</v>
      </c>
      <c r="D4" s="11">
        <v>0.5</v>
      </c>
      <c r="E4" s="14">
        <v>0.5</v>
      </c>
      <c r="F4" s="11">
        <v>90</v>
      </c>
      <c r="G4" s="11">
        <v>0</v>
      </c>
      <c r="H4" s="2">
        <v>0</v>
      </c>
      <c r="I4" s="10">
        <v>2</v>
      </c>
      <c r="J4" s="2">
        <v>0</v>
      </c>
      <c r="K4" s="7">
        <v>0</v>
      </c>
    </row>
    <row r="5" spans="1:11" ht="17.25" thickBot="1" x14ac:dyDescent="0.35">
      <c r="A5" s="10">
        <v>4</v>
      </c>
      <c r="B5" s="60" t="s">
        <v>28</v>
      </c>
      <c r="C5" s="51">
        <v>2</v>
      </c>
      <c r="D5" s="11">
        <v>2</v>
      </c>
      <c r="E5" s="14">
        <v>2</v>
      </c>
      <c r="F5" s="11">
        <v>90</v>
      </c>
      <c r="G5" s="11">
        <v>0</v>
      </c>
      <c r="H5" s="2">
        <v>0</v>
      </c>
      <c r="I5" s="10">
        <v>-2</v>
      </c>
      <c r="J5" s="2">
        <v>2</v>
      </c>
      <c r="K5" s="7">
        <v>-2</v>
      </c>
    </row>
    <row r="6" spans="1:11" ht="17.25" thickBot="1" x14ac:dyDescent="0.35">
      <c r="A6" s="24">
        <v>5</v>
      </c>
      <c r="B6" s="60" t="s">
        <v>28</v>
      </c>
      <c r="C6" s="52">
        <v>2</v>
      </c>
      <c r="D6" s="15">
        <v>2</v>
      </c>
      <c r="E6" s="36">
        <v>2</v>
      </c>
      <c r="F6" s="15">
        <v>0</v>
      </c>
      <c r="G6" s="15">
        <v>0</v>
      </c>
      <c r="H6" s="19">
        <v>90</v>
      </c>
      <c r="I6" s="24">
        <v>3</v>
      </c>
      <c r="J6" s="19">
        <v>3</v>
      </c>
      <c r="K6" s="47">
        <v>3</v>
      </c>
    </row>
    <row r="7" spans="1:11" x14ac:dyDescent="0.3">
      <c r="A7" s="2"/>
    </row>
    <row r="8" spans="1:11" x14ac:dyDescent="0.3">
      <c r="A8" s="10"/>
    </row>
    <row r="9" spans="1:11" x14ac:dyDescent="0.3">
      <c r="A9" s="10"/>
    </row>
    <row r="10" spans="1:11" x14ac:dyDescent="0.3">
      <c r="A10" s="10"/>
    </row>
    <row r="11" spans="1:11" x14ac:dyDescent="0.3">
      <c r="A11" s="10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단추2_Click">
                <anchor moveWithCells="1" sizeWithCells="1">
                  <from>
                    <xdr:col>11</xdr:col>
                    <xdr:colOff>9525</xdr:colOff>
                    <xdr:row>4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개요</vt:lpstr>
      <vt:lpstr>Color</vt:lpstr>
      <vt:lpstr>Physical Properties</vt:lpstr>
      <vt:lpstr>예제</vt:lpstr>
      <vt:lpstr>가중치</vt:lpstr>
      <vt:lpstr>툴 예제</vt:lpstr>
      <vt:lpstr>난이도</vt:lpstr>
      <vt:lpstr>Stage8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2020-12-19T05:22:32Z</cp:lastPrinted>
  <dcterms:created xsi:type="dcterms:W3CDTF">2020-12-05T01:56:56Z</dcterms:created>
  <dcterms:modified xsi:type="dcterms:W3CDTF">2020-12-19T06:44:32Z</dcterms:modified>
</cp:coreProperties>
</file>